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D8C73DD5-A834-4D9B-AA07-5DBDA9F722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rtada" sheetId="1" r:id="rId1"/>
    <sheet name="Req. Funcionales" sheetId="2" r:id="rId2"/>
    <sheet name="Req. No Funcional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8" i="3" l="1" a="1"/>
  <c r="A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H4" i="3"/>
  <c r="A4" i="3" a="1"/>
  <c r="A4" i="3"/>
  <c r="A36" i="2" a="1"/>
  <c r="A36" i="2" s="1"/>
  <c r="A35" i="2" a="1"/>
  <c r="A35" i="2"/>
  <c r="A34" i="2" a="1"/>
  <c r="A34" i="2"/>
  <c r="A33" i="2" a="1"/>
  <c r="A33" i="2"/>
  <c r="A32" i="2" a="1"/>
  <c r="A32" i="2"/>
  <c r="A31" i="2" a="1"/>
  <c r="A31" i="2"/>
  <c r="A30" i="2" a="1"/>
  <c r="A30" i="2"/>
  <c r="A29" i="2" a="1"/>
  <c r="A29" i="2" s="1"/>
  <c r="A28" i="2" a="1"/>
  <c r="A28" i="2" s="1"/>
  <c r="A27" i="2" a="1"/>
  <c r="A27" i="2"/>
  <c r="A26" i="2" a="1"/>
  <c r="A26" i="2"/>
  <c r="A25" i="2" a="1"/>
  <c r="A25" i="2"/>
  <c r="A24" i="2" a="1"/>
  <c r="A24" i="2"/>
  <c r="A23" i="2" a="1"/>
  <c r="A23" i="2"/>
  <c r="A22" i="2" a="1"/>
  <c r="A22" i="2"/>
  <c r="A21" i="2" a="1"/>
  <c r="A21" i="2" s="1"/>
  <c r="A20" i="2" a="1"/>
  <c r="A20" i="2" s="1"/>
  <c r="A19" i="2" a="1"/>
  <c r="A19" i="2" s="1"/>
  <c r="A18" i="2" a="1"/>
  <c r="A18" i="2" s="1"/>
  <c r="A17" i="2" a="1"/>
  <c r="A17" i="2"/>
  <c r="A16" i="2" a="1"/>
  <c r="A16" i="2"/>
  <c r="A15" i="2" a="1"/>
  <c r="A15" i="2"/>
  <c r="A14" i="2" a="1"/>
  <c r="A14" i="2"/>
  <c r="A13" i="2" a="1"/>
  <c r="A13" i="2" s="1"/>
  <c r="A12" i="2" a="1"/>
  <c r="A12" i="2" s="1"/>
  <c r="A11" i="2" a="1"/>
  <c r="A11" i="2" s="1"/>
  <c r="A10" i="2" a="1"/>
  <c r="A10" i="2" s="1"/>
  <c r="A9" i="2" a="1"/>
  <c r="A9" i="2" s="1"/>
  <c r="A4" i="2" a="1"/>
  <c r="A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100-000001000000}">
      <text>
        <r>
          <rPr>
            <sz val="10"/>
            <rFont val="Arial"/>
            <family val="2"/>
          </rPr>
          <t>Administrador:
Se genera solo. NO escribas aquí.</t>
        </r>
      </text>
    </comment>
    <comment ref="B3" authorId="0" shapeId="0" xr:uid="{00000000-0006-0000-0100-000002000000}">
      <text>
        <r>
          <rPr>
            <sz val="10"/>
            <rFont val="Arial"/>
            <family val="2"/>
          </rPr>
          <t>Administrador:
Módulo o área funcional al que pertenece. Ej.: Autenticación, Reportes, Pagos.</t>
        </r>
      </text>
    </comment>
    <comment ref="C3" authorId="0" shapeId="0" xr:uid="{00000000-0006-0000-0100-000003000000}">
      <text>
        <r>
          <rPr>
            <sz val="10"/>
            <rFont val="Arial"/>
            <family val="2"/>
          </rPr>
          <t>Administrador:
Título corto y claro del requerimiento. Ej.: Inicio de sesión.</t>
        </r>
      </text>
    </comment>
    <comment ref="D3" authorId="0" shapeId="0" xr:uid="{00000000-0006-0000-0100-000004000000}">
      <text>
        <r>
          <rPr>
            <sz val="10"/>
            <rFont val="Arial"/>
            <family val="2"/>
          </rPr>
          <t>Administrador:
Explica QUÉ debe hacer el sistema en una frase. Empieza con 'El sistema debe...'. Ej.: El sistema debe permitir recuperar la contraseña por correo.</t>
        </r>
      </text>
    </comment>
    <comment ref="E3" authorId="0" shapeId="0" xr:uid="{00000000-0006-0000-0100-000005000000}">
      <text>
        <r>
          <rPr>
            <sz val="10"/>
            <rFont val="Arial"/>
            <family val="2"/>
          </rPr>
          <t>Administrador:
Importancia del requerimiento. Elige de la lista: Alta, Media o Baja.</t>
        </r>
      </text>
    </comment>
    <comment ref="F3" authorId="0" shapeId="0" xr:uid="{00000000-0006-0000-0100-000006000000}">
      <text>
        <r>
          <rPr>
            <sz val="10"/>
            <rFont val="Arial"/>
            <family val="2"/>
          </rPr>
          <t>Administrador:
Quién lo solicita: persona, área o documento de origen.</t>
        </r>
      </text>
    </comment>
    <comment ref="G3" authorId="0" shapeId="0" xr:uid="{00000000-0006-0000-0100-000007000000}">
      <text>
        <r>
          <rPr>
            <sz val="10"/>
            <rFont val="Arial"/>
            <family val="2"/>
          </rPr>
          <t>Administrador:
Situación actual. Elige de la lista (Propuesto, Aprobado, etc.).</t>
        </r>
      </text>
    </comment>
    <comment ref="H3" authorId="0" shapeId="0" xr:uid="{00000000-0006-0000-0100-000008000000}">
      <text>
        <r>
          <rPr>
            <sz val="10"/>
            <rFont val="Arial"/>
            <family val="2"/>
          </rPr>
          <t>Administrador:
Fecha de registro. Se coloca la de hoy automáticamente; puedes cambiarla.</t>
        </r>
      </text>
    </comment>
    <comment ref="I3" authorId="0" shapeId="0" xr:uid="{00000000-0006-0000-0100-000009000000}">
      <text>
        <r>
          <rPr>
            <sz val="10"/>
            <rFont val="Arial"/>
            <family val="2"/>
          </rPr>
          <t>Administrador:
Notas, dudas o aclaraciones adicionales (opcional).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200-000001000000}">
      <text>
        <r>
          <rPr>
            <sz val="10"/>
            <rFont val="Arial"/>
            <family val="2"/>
          </rPr>
          <t>Administrador:
Se genera solo. NO escribas aquí.</t>
        </r>
      </text>
    </comment>
    <comment ref="B3" authorId="0" shapeId="0" xr:uid="{00000000-0006-0000-0200-000002000000}">
      <text>
        <r>
          <rPr>
            <sz val="10"/>
            <rFont val="Arial"/>
            <family val="2"/>
          </rPr>
          <t>Administrador:
Tipo de cualidad. Ej.: Rendimiento, Seguridad, Usabilidad, Disponibilidad, Escalabilidad.</t>
        </r>
      </text>
    </comment>
    <comment ref="C3" authorId="0" shapeId="0" xr:uid="{00000000-0006-0000-0200-000003000000}">
      <text>
        <r>
          <rPr>
            <sz val="10"/>
            <rFont val="Arial"/>
            <family val="2"/>
          </rPr>
          <t>Administrador:
Título corto y claro. Ej.: Tiempo de respuesta.</t>
        </r>
      </text>
    </comment>
    <comment ref="D3" authorId="0" shapeId="0" xr:uid="{00000000-0006-0000-0200-000004000000}">
      <text>
        <r>
          <rPr>
            <sz val="10"/>
            <rFont val="Arial"/>
            <family val="2"/>
          </rPr>
          <t>Administrador:
Explica CÓMO debe comportarse el sistema e incluye una medida si aplica. Ej.: El sistema debe responder en menos de 3 segundos con 500 usuarios.</t>
        </r>
      </text>
    </comment>
    <comment ref="E3" authorId="0" shapeId="0" xr:uid="{00000000-0006-0000-0200-000005000000}">
      <text>
        <r>
          <rPr>
            <sz val="10"/>
            <rFont val="Arial"/>
            <family val="2"/>
          </rPr>
          <t>Administrador:
Importancia del requerimiento. Elige de la lista: Alta, Media o Baja.</t>
        </r>
      </text>
    </comment>
    <comment ref="F3" authorId="0" shapeId="0" xr:uid="{00000000-0006-0000-0200-000006000000}">
      <text>
        <r>
          <rPr>
            <sz val="10"/>
            <rFont val="Arial"/>
            <family val="2"/>
          </rPr>
          <t>Administrador:
Quién lo solicita: persona, área o documento de origen.</t>
        </r>
      </text>
    </comment>
    <comment ref="G3" authorId="0" shapeId="0" xr:uid="{00000000-0006-0000-0200-000007000000}">
      <text>
        <r>
          <rPr>
            <sz val="10"/>
            <rFont val="Arial"/>
            <family val="2"/>
          </rPr>
          <t>Administrador:
Situación actual. Elige de la lista (Propuesto, Aprobado, etc.).</t>
        </r>
      </text>
    </comment>
    <comment ref="H3" authorId="0" shapeId="0" xr:uid="{00000000-0006-0000-0200-000008000000}">
      <text>
        <r>
          <rPr>
            <sz val="10"/>
            <rFont val="Arial"/>
            <family val="2"/>
          </rPr>
          <t>Administrador:
Fecha de registro. Se coloca la de hoy automáticamente; puedes cambiarla.</t>
        </r>
      </text>
    </comment>
    <comment ref="I3" authorId="0" shapeId="0" xr:uid="{00000000-0006-0000-0200-000009000000}">
      <text>
        <r>
          <rPr>
            <sz val="10"/>
            <rFont val="Arial"/>
            <family val="2"/>
          </rPr>
          <t>Administrador:
Notas, dudas o aclaraciones adicionales (opcional).</t>
        </r>
      </text>
    </comment>
  </commentList>
</comments>
</file>

<file path=xl/sharedStrings.xml><?xml version="1.0" encoding="utf-8"?>
<sst xmlns="http://schemas.openxmlformats.org/spreadsheetml/2006/main" count="333" uniqueCount="170">
  <si>
    <t>LEVANTAMIENTO DE REQUERIMIENTOS</t>
  </si>
  <si>
    <t>Plantilla de requerimientos funcionales y no funcionales</t>
  </si>
  <si>
    <t>Nombre del proyecto</t>
  </si>
  <si>
    <t>Plataforma</t>
  </si>
  <si>
    <t>Responsable / Analista</t>
  </si>
  <si>
    <t>EDWIN QUINTERO GUZMAN</t>
  </si>
  <si>
    <t>Cliente / Área solicitante</t>
  </si>
  <si>
    <t>COORDINACION BIOMEDICA</t>
  </si>
  <si>
    <t>Versión del documento</t>
  </si>
  <si>
    <t>Fecha</t>
  </si>
  <si>
    <t>Objetivo / Descripción general</t>
  </si>
  <si>
    <t>Inventario y control de equipos.
Indicadores de gestión (KPIs).
Hojas de vida de los equipos.
Cronograma y seguimiento de mantenimientos.
Gestión de roles y usuarios.
Alertas y notificaciones.
Fichas técnicas y de manejo.
Registro y seguimiento de capacitaciones</t>
  </si>
  <si>
    <t>Guía rápida — ¿qué se captura en cada hoja?</t>
  </si>
  <si>
    <t>Requerimientos Funcionales (RF)</t>
  </si>
  <si>
    <t>Describen QUÉ debe hacer el sistema: funciones, procesos y comportamientos que espera el usuario. Ej.: iniciar sesión, generar un reporte, registrar un pedido.</t>
  </si>
  <si>
    <t>Requerimientos No Funcionales (RNF)</t>
  </si>
  <si>
    <t>Describen CÓMO debe comportarse el sistema: cualidades y restricciones como rendimiento, seguridad, usabilidad, disponibilidad, escalabilidad o compatibilidad. Ej.: responder en &lt; 3 s, cifrar datos sensibles, soportar 500 usuarios concurrentes.</t>
  </si>
  <si>
    <t>Nota: esta plantilla es el documento base que se entrega para el levantamiento inicial de requerimientos. Se completa con el cliente/área y luego sirve de insumo para análisis y diseño.</t>
  </si>
  <si>
    <t>REQUERIMIENTOS FUNCIONALES</t>
  </si>
  <si>
    <t>Registra QUÉ debe hacer el sistema (funciones y comportamientos esperados).</t>
  </si>
  <si>
    <t>ID</t>
  </si>
  <si>
    <t>Categoría / Módulo</t>
  </si>
  <si>
    <t>Nombre</t>
  </si>
  <si>
    <t>Descripción</t>
  </si>
  <si>
    <t>Prioridad</t>
  </si>
  <si>
    <t>Fuente / Solicitante</t>
  </si>
  <si>
    <t>Estado</t>
  </si>
  <si>
    <t>Comentarios</t>
  </si>
  <si>
    <t>Inventario</t>
  </si>
  <si>
    <t>Registro de equipos</t>
  </si>
  <si>
    <t>Alta y ficha base de cada equipo biomedico</t>
  </si>
  <si>
    <t>Alta</t>
  </si>
  <si>
    <t>Coordinacion biomedica</t>
  </si>
  <si>
    <t>Propuesto</t>
  </si>
  <si>
    <t>Nucleo de sistema</t>
  </si>
  <si>
    <t>RF-002</t>
  </si>
  <si>
    <t>Identificacion unica</t>
  </si>
  <si>
    <t>Código interno único + serial del fabricante</t>
  </si>
  <si>
    <t>eviatr duplicidos</t>
  </si>
  <si>
    <t>RF-003</t>
  </si>
  <si>
    <t>Registro Invima</t>
  </si>
  <si>
    <t>Registro sanitario y clasificación de riesgo del dispositivo</t>
  </si>
  <si>
    <t>Exigible en habilitacion</t>
  </si>
  <si>
    <t>RF-004</t>
  </si>
  <si>
    <t>Ubicaion y traslados</t>
  </si>
  <si>
    <t>Sede/servicio con trazabilidad de movimientos</t>
  </si>
  <si>
    <t>Multi-sede</t>
  </si>
  <si>
    <t>RF-005</t>
  </si>
  <si>
    <t>Datos de aquisicion</t>
  </si>
  <si>
    <t>Proveedor, fecha, costo, garantía, orden de compra</t>
  </si>
  <si>
    <t>Estado del equipo</t>
  </si>
  <si>
    <t>Operativo / mantenimiento / fuera de servicio / baja</t>
  </si>
  <si>
    <t>Busqueda y Filtros</t>
  </si>
  <si>
    <t>Filtrado avanzado por tipo, sede, criticidad, estado</t>
  </si>
  <si>
    <t>Carga Masiva</t>
  </si>
  <si>
    <t>Importación de equipos vía Excel</t>
  </si>
  <si>
    <t>Hoja de Vida</t>
  </si>
  <si>
    <t>Historial consolidado</t>
  </si>
  <si>
    <t>Vista cronológica de todas las intervenciones por equipo</t>
  </si>
  <si>
    <t>RES3100</t>
  </si>
  <si>
    <t>Documentos adjuntos</t>
  </si>
  <si>
    <t>Manuales, facturas, certificados, registro INVIMA</t>
  </si>
  <si>
    <t>Trazabilidad de intervencion</t>
  </si>
  <si>
    <t>Quién, cuándo y qué se hizo en cada acción</t>
  </si>
  <si>
    <t>Responsable firma</t>
  </si>
  <si>
    <t>Responsable y firma</t>
  </si>
  <si>
    <t>Mantenimiento</t>
  </si>
  <si>
    <t>Ordenes de Trabajo</t>
  </si>
  <si>
    <t>OT de preventivo/correctivo/calibración con estados</t>
  </si>
  <si>
    <t>Gestion de Calibraciones</t>
  </si>
  <si>
    <t>Registro con vigencia y certificado de calibración</t>
  </si>
  <si>
    <t>Calendario visual</t>
  </si>
  <si>
    <t>Vista de calendario de mantenimientos programados</t>
  </si>
  <si>
    <t>Repuestos y costos</t>
  </si>
  <si>
    <t>Registro de repuestos/insuos usados y su costo</t>
  </si>
  <si>
    <t>asignacion de tecnico</t>
  </si>
  <si>
    <t>Asignar OT a técnico o ingeniero biomédico</t>
  </si>
  <si>
    <t>KPIs</t>
  </si>
  <si>
    <t>Cumplimientos de preventivos</t>
  </si>
  <si>
    <t>% programado vs. ejecutado</t>
  </si>
  <si>
    <t>Indicadores de confiabilidad</t>
  </si>
  <si>
    <t>Media</t>
  </si>
  <si>
    <t>Costo de mantenimientos</t>
  </si>
  <si>
    <t>Costos por equipo, servicio y periodo</t>
  </si>
  <si>
    <t>Dashboards y exportación</t>
  </si>
  <si>
    <t>Tableros filtrables y exportación a PDF/Excel</t>
  </si>
  <si>
    <t>Fichas Tecnicas</t>
  </si>
  <si>
    <t>ficah tecnica</t>
  </si>
  <si>
    <t>Especificaciones técnicas del equipo</t>
  </si>
  <si>
    <t>Ficha de manejo</t>
  </si>
  <si>
    <t>Instrucciones de operacion y seguridad del equipo</t>
  </si>
  <si>
    <t>Operacion segura</t>
  </si>
  <si>
    <t>Capacitaciones</t>
  </si>
  <si>
    <t>Registro de capacitacion</t>
  </si>
  <si>
    <t>Tema, instructor, fecha y duracion</t>
  </si>
  <si>
    <t>Personal habilitado</t>
  </si>
  <si>
    <t>Asistentes y certificados</t>
  </si>
  <si>
    <t>Registro de asistentes y emision de certificados</t>
  </si>
  <si>
    <t>Habilitacion operativa</t>
  </si>
  <si>
    <t>Vinculo persona-equipo (quien puede operar que)</t>
  </si>
  <si>
    <t>Alerta de recapacitacion</t>
  </si>
  <si>
    <t>Aviso por vencimiento de capacitacion</t>
  </si>
  <si>
    <t>Baja</t>
  </si>
  <si>
    <t>Roles y usuarios</t>
  </si>
  <si>
    <t>Autenticacion y roles</t>
  </si>
  <si>
    <t>Login y roles (admin, coordinador, ing. BM, tecnico, consulta)</t>
  </si>
  <si>
    <t>Permisos granulares</t>
  </si>
  <si>
    <t>Permisos por modulo y accion</t>
  </si>
  <si>
    <t>Bitacora de auditoria</t>
  </si>
  <si>
    <t>Registro de acciones sensibles de los usuarios</t>
  </si>
  <si>
    <t>Trazabilidad</t>
  </si>
  <si>
    <t>Alertas</t>
  </si>
  <si>
    <t>Vencimientos mtto/calibracion</t>
  </si>
  <si>
    <t>Aviso de preventivos y calibraciones proximos o vencidos</t>
  </si>
  <si>
    <t>Valor operativo</t>
  </si>
  <si>
    <t>Garantias por vencer</t>
  </si>
  <si>
    <t>Aviso de garantias proximas a vencer</t>
  </si>
  <si>
    <t>Notificacion multicanal</t>
  </si>
  <si>
    <t>Alertas por in-app, correo, WhatsApp/SMS</t>
  </si>
  <si>
    <t>Configurable por rol</t>
  </si>
  <si>
    <t>REQUERIMIENTOS NO FUNCIONALES</t>
  </si>
  <si>
    <t>Registra CÓMO debe comportarse el sistema (rendimiento, seguridad, usabilidad, etc.).</t>
  </si>
  <si>
    <t>Rendimiento</t>
  </si>
  <si>
    <t>Tiempo de respuesta</t>
  </si>
  <si>
    <t>El sistema debe responder a las solicitudes en menos de 3 segundos con 500 usuarios concurrentes.</t>
  </si>
  <si>
    <t>Ejemplo de referencia</t>
  </si>
  <si>
    <t>Seguridad</t>
  </si>
  <si>
    <t>Control de acceso</t>
  </si>
  <si>
    <t>Autenticacion segura y cifrado de datos sensibles</t>
  </si>
  <si>
    <t>Auditoria</t>
  </si>
  <si>
    <t>Trazabilidad de acciones de los usuarios</t>
  </si>
  <si>
    <t>Proteccion de datos</t>
  </si>
  <si>
    <t>Cumplimiento de habeas data (Ley 1581 de 2012)</t>
  </si>
  <si>
    <t>Normativa</t>
  </si>
  <si>
    <t>Datos personales</t>
  </si>
  <si>
    <t>Disponibilidad</t>
  </si>
  <si>
    <t>Respaldos</t>
  </si>
  <si>
    <t>Backups automaticos y plan de recuperacion</t>
  </si>
  <si>
    <t>Nivel de servicio</t>
  </si>
  <si>
    <t>Objetivo de uptime / SLA definido</t>
  </si>
  <si>
    <t>Escalabilidad</t>
  </si>
  <si>
    <t>Soporte para varias sedes y servicios</t>
  </si>
  <si>
    <t>Usabilidad</t>
  </si>
  <si>
    <t>Interfaz sencilla</t>
  </si>
  <si>
    <t>Responsive y facil para tecnicos con poca formacion digital</t>
  </si>
  <si>
    <t>Movilidad</t>
  </si>
  <si>
    <t>Registro en campo</t>
  </si>
  <si>
    <t>Acceso movil, ideal con modo offline</t>
  </si>
  <si>
    <t>Sin red en sitio</t>
  </si>
  <si>
    <t>Interoperabilidad</t>
  </si>
  <si>
    <t>Import/Export</t>
  </si>
  <si>
    <t>Importacion/exportacion en Excel y PDF</t>
  </si>
  <si>
    <t>Integracion externa</t>
  </si>
  <si>
    <t>Integracion con activos fijos / ERP institucional</t>
  </si>
  <si>
    <t>Mantenibilidad</t>
  </si>
  <si>
    <t>Documentacion tecnica</t>
  </si>
  <si>
    <t>Sistema y codigo documentados y mantenibles</t>
  </si>
  <si>
    <t>Compatibilidad</t>
  </si>
  <si>
    <t>Navegadores/dispositivos</t>
  </si>
  <si>
    <t>Soporte de navegadores y dispositivos definidos</t>
  </si>
  <si>
    <t>Portabilidad</t>
  </si>
  <si>
    <t>Despliegue</t>
  </si>
  <si>
    <t>Opcion de despliegue en nube o local</t>
  </si>
  <si>
    <t>Cumplimiento</t>
  </si>
  <si>
    <t>Retencion de registros</t>
  </si>
  <si>
    <t>Conservar hojas de vida y registros segun vigencia normativa</t>
  </si>
  <si>
    <t>Evidencia historica</t>
  </si>
  <si>
    <t>Descartado</t>
  </si>
  <si>
    <t>Disponibilidad, MTBF, MTTR(tiempo de recuperacion en fallos)</t>
  </si>
  <si>
    <t>SISTEMA DE GESTION DE ACTIVOS BIOMEDICOS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</si>
</sst>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Aptos Narrow"/>
      <family val="2"/>
      <charset val="1"/>
    </font>
    <font>
      <b/>
      <sz val="18"/>
      <color rgb="FF1F3864"/>
      <name val="Aptos Narrow"/>
      <family val="2"/>
      <charset val="1"/>
    </font>
    <font>
      <i/>
      <sz val="11"/>
      <color rgb="FF808080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rgb="FF1F3864"/>
      <name val="Aptos Narrow"/>
      <family val="2"/>
      <charset val="1"/>
    </font>
    <font>
      <b/>
      <sz val="14"/>
      <color rgb="FF1F3864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F" displayName="TablaRF" ref="A3:I36" totalsRowShown="0">
  <autoFilter ref="A3:I36" xr:uid="{00000000-0009-0000-0100-000001000000}"/>
  <tableColumns count="9">
    <tableColumn id="1" xr3:uid="{00000000-0010-0000-0000-000001000000}" name="ID"/>
    <tableColumn id="2" xr3:uid="{00000000-0010-0000-0000-000002000000}" name="Categoría / Módulo"/>
    <tableColumn id="3" xr3:uid="{00000000-0010-0000-0000-000003000000}" name="Nombre"/>
    <tableColumn id="4" xr3:uid="{00000000-0010-0000-0000-000004000000}" name="Descripción"/>
    <tableColumn id="5" xr3:uid="{00000000-0010-0000-0000-000005000000}" name="Prioridad"/>
    <tableColumn id="6" xr3:uid="{00000000-0010-0000-0000-000006000000}" name="Fuente / Solicitante"/>
    <tableColumn id="7" xr3:uid="{00000000-0010-0000-0000-000007000000}" name="Estado"/>
    <tableColumn id="8" xr3:uid="{00000000-0010-0000-0000-000008000000}" name="Fecha"/>
    <tableColumn id="9" xr3:uid="{00000000-0010-0000-0000-000009000000}" name="Comentario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NF" displayName="TablaRNF" ref="A3:I18" totalsRowShown="0">
  <autoFilter ref="A3:I18" xr:uid="{00000000-0009-0000-0100-000002000000}"/>
  <tableColumns count="9">
    <tableColumn id="1" xr3:uid="{00000000-0010-0000-0100-000001000000}" name="ID"/>
    <tableColumn id="2" xr3:uid="{00000000-0010-0000-0100-000002000000}" name="Categoría / Módulo"/>
    <tableColumn id="3" xr3:uid="{00000000-0010-0000-0100-000003000000}" name="Nombre"/>
    <tableColumn id="4" xr3:uid="{00000000-0010-0000-0100-000004000000}" name="Descripción"/>
    <tableColumn id="5" xr3:uid="{00000000-0010-0000-0100-000005000000}" name="Prioridad"/>
    <tableColumn id="6" xr3:uid="{00000000-0010-0000-0100-000006000000}" name="Fuente / Solicitante"/>
    <tableColumn id="7" xr3:uid="{00000000-0010-0000-0100-000007000000}" name="Estado"/>
    <tableColumn id="8" xr3:uid="{00000000-0010-0000-0100-000008000000}" name="Fecha"/>
    <tableColumn id="9" xr3:uid="{00000000-0010-0000-0100-000009000000}" name="Comentar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topLeftCell="A6" zoomScaleNormal="100" workbookViewId="0">
      <selection activeCell="C6" sqref="C6"/>
    </sheetView>
  </sheetViews>
  <sheetFormatPr baseColWidth="10" defaultColWidth="10.5546875" defaultRowHeight="14.4" x14ac:dyDescent="0.3"/>
  <cols>
    <col min="1" max="1" width="3.6640625" customWidth="1"/>
    <col min="2" max="2" width="38.109375" customWidth="1"/>
    <col min="3" max="3" width="55.5546875" customWidth="1"/>
  </cols>
  <sheetData>
    <row r="2" spans="2:3" ht="23.25" customHeight="1" x14ac:dyDescent="0.45">
      <c r="B2" s="1" t="s">
        <v>0</v>
      </c>
    </row>
    <row r="3" spans="2:3" x14ac:dyDescent="0.3">
      <c r="B3" s="2" t="s">
        <v>1</v>
      </c>
    </row>
    <row r="5" spans="2:3" x14ac:dyDescent="0.3">
      <c r="B5" s="3" t="s">
        <v>2</v>
      </c>
      <c r="C5" s="4" t="s">
        <v>169</v>
      </c>
    </row>
    <row r="6" spans="2:3" x14ac:dyDescent="0.3">
      <c r="B6" s="3" t="s">
        <v>3</v>
      </c>
      <c r="C6" s="4"/>
    </row>
    <row r="7" spans="2:3" x14ac:dyDescent="0.3">
      <c r="B7" s="3" t="s">
        <v>4</v>
      </c>
      <c r="C7" s="4" t="s">
        <v>5</v>
      </c>
    </row>
    <row r="8" spans="2:3" x14ac:dyDescent="0.3">
      <c r="B8" s="3" t="s">
        <v>6</v>
      </c>
      <c r="C8" s="4" t="s">
        <v>7</v>
      </c>
    </row>
    <row r="9" spans="2:3" x14ac:dyDescent="0.3">
      <c r="B9" s="3" t="s">
        <v>8</v>
      </c>
      <c r="C9" s="4">
        <v>0.1</v>
      </c>
    </row>
    <row r="10" spans="2:3" x14ac:dyDescent="0.3">
      <c r="B10" s="3" t="s">
        <v>9</v>
      </c>
      <c r="C10" s="5">
        <v>46259</v>
      </c>
    </row>
    <row r="12" spans="2:3" x14ac:dyDescent="0.3">
      <c r="B12" s="3" t="s">
        <v>10</v>
      </c>
    </row>
    <row r="13" spans="2:3" ht="129" customHeight="1" x14ac:dyDescent="0.3">
      <c r="B13" s="6" t="s">
        <v>11</v>
      </c>
    </row>
    <row r="15" spans="2:3" ht="15" customHeight="1" x14ac:dyDescent="0.3">
      <c r="B15" s="7" t="s">
        <v>12</v>
      </c>
    </row>
    <row r="16" spans="2:3" x14ac:dyDescent="0.3">
      <c r="B16" s="3" t="s">
        <v>13</v>
      </c>
    </row>
    <row r="17" spans="2:8" ht="21.75" customHeight="1" x14ac:dyDescent="0.3">
      <c r="B17" s="15" t="s">
        <v>14</v>
      </c>
      <c r="C17" s="15"/>
      <c r="D17" s="15"/>
      <c r="E17" s="15"/>
      <c r="F17" s="15"/>
      <c r="G17" s="15"/>
      <c r="H17" s="15"/>
    </row>
    <row r="18" spans="2:8" ht="21.75" customHeight="1" x14ac:dyDescent="0.3">
      <c r="B18" s="15"/>
      <c r="C18" s="15"/>
      <c r="D18" s="15"/>
      <c r="E18" s="15"/>
      <c r="F18" s="15"/>
      <c r="G18" s="15"/>
      <c r="H18" s="15"/>
    </row>
    <row r="19" spans="2:8" x14ac:dyDescent="0.3">
      <c r="B19" s="3" t="s">
        <v>15</v>
      </c>
    </row>
    <row r="20" spans="2:8" ht="21.75" customHeight="1" x14ac:dyDescent="0.3">
      <c r="B20" s="15" t="s">
        <v>16</v>
      </c>
      <c r="C20" s="15"/>
      <c r="D20" s="15"/>
      <c r="E20" s="15"/>
      <c r="F20" s="15"/>
      <c r="G20" s="15"/>
      <c r="H20" s="15"/>
    </row>
    <row r="21" spans="2:8" ht="21.75" customHeight="1" x14ac:dyDescent="0.3">
      <c r="B21" s="15"/>
      <c r="C21" s="15"/>
      <c r="D21" s="15"/>
      <c r="E21" s="15"/>
      <c r="F21" s="15"/>
      <c r="G21" s="15"/>
      <c r="H21" s="15"/>
    </row>
    <row r="23" spans="2:8" ht="14.25" customHeight="1" x14ac:dyDescent="0.3">
      <c r="B23" s="16" t="s">
        <v>17</v>
      </c>
      <c r="C23" s="16"/>
      <c r="D23" s="16"/>
      <c r="E23" s="16"/>
      <c r="F23" s="16"/>
      <c r="G23" s="16"/>
      <c r="H23" s="16"/>
    </row>
    <row r="24" spans="2:8" x14ac:dyDescent="0.3">
      <c r="B24" s="16"/>
      <c r="C24" s="16"/>
      <c r="D24" s="16"/>
      <c r="E24" s="16"/>
      <c r="F24" s="16"/>
      <c r="G24" s="16"/>
      <c r="H24" s="16"/>
    </row>
  </sheetData>
  <mergeCells count="3">
    <mergeCell ref="B17:H18"/>
    <mergeCell ref="B20:H21"/>
    <mergeCell ref="B23:H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zoomScaleNormal="100" workbookViewId="0">
      <pane ySplit="3" topLeftCell="A16" activePane="bottomLeft" state="frozen"/>
      <selection pane="bottomLeft" activeCell="D23" sqref="D23"/>
    </sheetView>
  </sheetViews>
  <sheetFormatPr baseColWidth="10" defaultColWidth="10.5546875" defaultRowHeight="14.4" x14ac:dyDescent="0.3"/>
  <cols>
    <col min="1" max="1" width="11.109375" customWidth="1"/>
    <col min="2" max="2" width="22.21875" customWidth="1"/>
    <col min="3" max="3" width="27.88671875" bestFit="1" customWidth="1"/>
    <col min="4" max="4" width="59.21875" style="8" customWidth="1"/>
    <col min="5" max="5" width="13" customWidth="1"/>
    <col min="6" max="6" width="24.109375" customWidth="1"/>
    <col min="7" max="7" width="16.6640625" customWidth="1"/>
    <col min="8" max="8" width="15.77734375" customWidth="1"/>
    <col min="9" max="9" width="33.33203125" customWidth="1"/>
  </cols>
  <sheetData>
    <row r="1" spans="1:9" ht="18" customHeight="1" x14ac:dyDescent="0.35">
      <c r="A1" s="9" t="s">
        <v>18</v>
      </c>
    </row>
    <row r="2" spans="1:9" x14ac:dyDescent="0.3">
      <c r="A2" s="2" t="s">
        <v>19</v>
      </c>
    </row>
    <row r="3" spans="1:9" x14ac:dyDescent="0.3">
      <c r="A3" s="10" t="s">
        <v>20</v>
      </c>
      <c r="B3" s="11" t="s">
        <v>21</v>
      </c>
      <c r="C3" s="11" t="s">
        <v>22</v>
      </c>
      <c r="D3" s="12" t="s">
        <v>23</v>
      </c>
      <c r="E3" s="10" t="s">
        <v>24</v>
      </c>
      <c r="F3" s="11" t="s">
        <v>25</v>
      </c>
      <c r="G3" s="10" t="s">
        <v>26</v>
      </c>
      <c r="H3" s="10" t="s">
        <v>9</v>
      </c>
      <c r="I3" s="10" t="s">
        <v>27</v>
      </c>
    </row>
    <row r="4" spans="1:9" x14ac:dyDescent="0.3">
      <c r="A4" s="13" t="str">
        <f t="array" ref="A4">"RF-"&amp;TEXT(ROW()-ROW(TablaRF[#Headers]),"000")</f>
        <v>RF-001</v>
      </c>
      <c r="B4" t="s">
        <v>28</v>
      </c>
      <c r="C4" t="s">
        <v>29</v>
      </c>
      <c r="D4" s="8" t="s">
        <v>30</v>
      </c>
      <c r="E4" s="13" t="s">
        <v>31</v>
      </c>
      <c r="F4" t="s">
        <v>32</v>
      </c>
      <c r="G4" s="13" t="s">
        <v>33</v>
      </c>
      <c r="H4" s="14">
        <v>46259</v>
      </c>
      <c r="I4" t="s">
        <v>34</v>
      </c>
    </row>
    <row r="5" spans="1:9" x14ac:dyDescent="0.3">
      <c r="A5" s="13" t="s">
        <v>35</v>
      </c>
      <c r="B5" t="s">
        <v>28</v>
      </c>
      <c r="C5" t="s">
        <v>36</v>
      </c>
      <c r="D5" s="8" t="s">
        <v>37</v>
      </c>
      <c r="E5" s="13" t="s">
        <v>31</v>
      </c>
      <c r="F5" t="s">
        <v>32</v>
      </c>
      <c r="G5" s="13" t="s">
        <v>33</v>
      </c>
      <c r="H5" s="14">
        <v>46259</v>
      </c>
      <c r="I5" t="s">
        <v>38</v>
      </c>
    </row>
    <row r="6" spans="1:9" x14ac:dyDescent="0.3">
      <c r="A6" s="13" t="s">
        <v>39</v>
      </c>
      <c r="B6" t="s">
        <v>28</v>
      </c>
      <c r="C6" t="s">
        <v>40</v>
      </c>
      <c r="D6" s="8" t="s">
        <v>41</v>
      </c>
      <c r="E6" s="13" t="s">
        <v>31</v>
      </c>
      <c r="F6" t="s">
        <v>32</v>
      </c>
      <c r="G6" s="13" t="s">
        <v>33</v>
      </c>
      <c r="H6" s="14">
        <v>46259</v>
      </c>
      <c r="I6" t="s">
        <v>42</v>
      </c>
    </row>
    <row r="7" spans="1:9" x14ac:dyDescent="0.3">
      <c r="A7" s="13" t="s">
        <v>43</v>
      </c>
      <c r="B7" t="s">
        <v>28</v>
      </c>
      <c r="C7" t="s">
        <v>44</v>
      </c>
      <c r="D7" s="8" t="s">
        <v>45</v>
      </c>
      <c r="E7" s="13" t="s">
        <v>31</v>
      </c>
      <c r="F7" t="s">
        <v>32</v>
      </c>
      <c r="G7" s="13" t="s">
        <v>33</v>
      </c>
      <c r="H7" s="14">
        <v>46259</v>
      </c>
      <c r="I7" t="s">
        <v>46</v>
      </c>
    </row>
    <row r="8" spans="1:9" x14ac:dyDescent="0.3">
      <c r="A8" s="13" t="s">
        <v>47</v>
      </c>
      <c r="B8" t="s">
        <v>28</v>
      </c>
      <c r="C8" t="s">
        <v>48</v>
      </c>
      <c r="D8" s="8" t="s">
        <v>49</v>
      </c>
      <c r="E8" s="13" t="s">
        <v>31</v>
      </c>
      <c r="F8" t="s">
        <v>32</v>
      </c>
      <c r="G8" s="13" t="s">
        <v>33</v>
      </c>
      <c r="H8" s="14">
        <v>46260</v>
      </c>
    </row>
    <row r="9" spans="1:9" x14ac:dyDescent="0.3">
      <c r="A9" s="13" t="str">
        <f t="array" ref="A9">"RF-"&amp;TEXT(ROW()-ROW(TablaRF[#Headers]),"000")</f>
        <v>RF-006</v>
      </c>
      <c r="B9" t="s">
        <v>28</v>
      </c>
      <c r="C9" t="s">
        <v>50</v>
      </c>
      <c r="D9" s="8" t="s">
        <v>51</v>
      </c>
      <c r="E9" s="13" t="s">
        <v>31</v>
      </c>
      <c r="F9" t="s">
        <v>32</v>
      </c>
      <c r="G9" s="13" t="s">
        <v>33</v>
      </c>
      <c r="H9" s="14">
        <v>46261</v>
      </c>
    </row>
    <row r="10" spans="1:9" x14ac:dyDescent="0.3">
      <c r="A10" s="13" t="str">
        <f t="array" ref="A10">"RF-"&amp;TEXT(ROW()-ROW(TablaRF[#Headers]),"000")</f>
        <v>RF-007</v>
      </c>
      <c r="B10" t="s">
        <v>28</v>
      </c>
      <c r="C10" t="s">
        <v>52</v>
      </c>
      <c r="D10" s="8" t="s">
        <v>53</v>
      </c>
      <c r="E10" s="13" t="s">
        <v>31</v>
      </c>
      <c r="F10" t="s">
        <v>32</v>
      </c>
      <c r="G10" s="13" t="s">
        <v>33</v>
      </c>
      <c r="H10" s="14">
        <v>46262</v>
      </c>
    </row>
    <row r="11" spans="1:9" x14ac:dyDescent="0.3">
      <c r="A11" s="13" t="str">
        <f t="array" ref="A11">"RF-"&amp;TEXT(ROW()-ROW(TablaRF[#Headers]),"000")</f>
        <v>RF-008</v>
      </c>
      <c r="B11" t="s">
        <v>28</v>
      </c>
      <c r="C11" t="s">
        <v>54</v>
      </c>
      <c r="D11" s="8" t="s">
        <v>55</v>
      </c>
      <c r="E11" s="13" t="s">
        <v>31</v>
      </c>
      <c r="F11" t="s">
        <v>32</v>
      </c>
      <c r="G11" s="13" t="s">
        <v>33</v>
      </c>
      <c r="H11" s="14">
        <v>46263</v>
      </c>
    </row>
    <row r="12" spans="1:9" x14ac:dyDescent="0.3">
      <c r="A12" s="13" t="str">
        <f t="array" ref="A12">"RF-"&amp;TEXT(ROW()-ROW(TablaRF[#Headers]),"000")</f>
        <v>RF-009</v>
      </c>
      <c r="B12" t="s">
        <v>56</v>
      </c>
      <c r="C12" t="s">
        <v>57</v>
      </c>
      <c r="D12" s="8" t="s">
        <v>58</v>
      </c>
      <c r="E12" s="13" t="s">
        <v>31</v>
      </c>
      <c r="F12" t="s">
        <v>59</v>
      </c>
      <c r="G12" s="13" t="s">
        <v>33</v>
      </c>
      <c r="H12" s="14">
        <v>46264</v>
      </c>
    </row>
    <row r="13" spans="1:9" x14ac:dyDescent="0.3">
      <c r="A13" s="13" t="str">
        <f t="array" ref="A13">"RF-"&amp;TEXT(ROW()-ROW(TablaRF[#Headers]),"000")</f>
        <v>RF-010</v>
      </c>
      <c r="B13" t="s">
        <v>56</v>
      </c>
      <c r="C13" t="s">
        <v>60</v>
      </c>
      <c r="D13" s="8" t="s">
        <v>61</v>
      </c>
      <c r="E13" s="13" t="s">
        <v>31</v>
      </c>
      <c r="F13" t="s">
        <v>59</v>
      </c>
      <c r="G13" s="13" t="s">
        <v>33</v>
      </c>
      <c r="H13" s="14">
        <v>46265</v>
      </c>
    </row>
    <row r="14" spans="1:9" x14ac:dyDescent="0.3">
      <c r="A14" s="13" t="str">
        <f t="array" ref="A14">"RF-"&amp;TEXT(ROW()-ROW(TablaRF[#Headers]),"000")</f>
        <v>RF-011</v>
      </c>
      <c r="B14" t="s">
        <v>56</v>
      </c>
      <c r="C14" t="s">
        <v>62</v>
      </c>
      <c r="D14" s="8" t="s">
        <v>63</v>
      </c>
      <c r="E14" s="13" t="s">
        <v>31</v>
      </c>
      <c r="F14" t="s">
        <v>32</v>
      </c>
      <c r="G14" s="13" t="s">
        <v>33</v>
      </c>
      <c r="H14" s="14">
        <v>46266</v>
      </c>
    </row>
    <row r="15" spans="1:9" x14ac:dyDescent="0.3">
      <c r="A15" s="13" t="str">
        <f t="array" ref="A15">"RF-"&amp;TEXT(ROW()-ROW(TablaRF[#Headers]),"000")</f>
        <v>RF-012</v>
      </c>
      <c r="B15" t="s">
        <v>56</v>
      </c>
      <c r="C15" t="s">
        <v>64</v>
      </c>
      <c r="D15" s="8" t="s">
        <v>65</v>
      </c>
      <c r="E15" s="13" t="s">
        <v>31</v>
      </c>
      <c r="F15" t="s">
        <v>32</v>
      </c>
      <c r="G15" s="13" t="s">
        <v>33</v>
      </c>
      <c r="H15" s="14">
        <v>46267</v>
      </c>
    </row>
    <row r="16" spans="1:9" x14ac:dyDescent="0.3">
      <c r="A16" s="13" t="str">
        <f t="array" ref="A16">"RF-"&amp;TEXT(ROW()-ROW(TablaRF[#Headers]),"000")</f>
        <v>RF-013</v>
      </c>
      <c r="B16" t="s">
        <v>66</v>
      </c>
      <c r="C16" t="s">
        <v>67</v>
      </c>
      <c r="D16" s="8" t="s">
        <v>68</v>
      </c>
      <c r="E16" s="13" t="s">
        <v>31</v>
      </c>
      <c r="F16" t="s">
        <v>32</v>
      </c>
      <c r="G16" s="13" t="s">
        <v>33</v>
      </c>
      <c r="H16" s="14">
        <v>46268</v>
      </c>
    </row>
    <row r="17" spans="1:9" x14ac:dyDescent="0.3">
      <c r="A17" s="13" t="str">
        <f t="array" ref="A17">"RF-"&amp;TEXT(ROW()-ROW(TablaRF[#Headers]),"000")</f>
        <v>RF-014</v>
      </c>
      <c r="B17" t="s">
        <v>66</v>
      </c>
      <c r="C17" t="s">
        <v>69</v>
      </c>
      <c r="D17" s="8" t="s">
        <v>70</v>
      </c>
      <c r="E17" s="13" t="s">
        <v>31</v>
      </c>
      <c r="F17" t="s">
        <v>32</v>
      </c>
      <c r="G17" s="13" t="s">
        <v>33</v>
      </c>
      <c r="H17" s="14">
        <v>46269</v>
      </c>
    </row>
    <row r="18" spans="1:9" x14ac:dyDescent="0.3">
      <c r="A18" s="13" t="str">
        <f t="array" ref="A18">"RF-"&amp;TEXT(ROW()-ROW(TablaRF[#Headers]),"000")</f>
        <v>RF-015</v>
      </c>
      <c r="B18" t="s">
        <v>66</v>
      </c>
      <c r="C18" t="s">
        <v>71</v>
      </c>
      <c r="D18" s="8" t="s">
        <v>72</v>
      </c>
      <c r="E18" s="13" t="s">
        <v>31</v>
      </c>
      <c r="F18" t="s">
        <v>32</v>
      </c>
      <c r="G18" s="13" t="s">
        <v>33</v>
      </c>
      <c r="H18" s="14">
        <v>46270</v>
      </c>
    </row>
    <row r="19" spans="1:9" x14ac:dyDescent="0.3">
      <c r="A19" s="13" t="str">
        <f t="array" ref="A19">"RF-"&amp;TEXT(ROW()-ROW(TablaRF[#Headers]),"000")</f>
        <v>RF-016</v>
      </c>
      <c r="B19" t="s">
        <v>66</v>
      </c>
      <c r="C19" t="s">
        <v>73</v>
      </c>
      <c r="D19" s="8" t="s">
        <v>74</v>
      </c>
      <c r="E19" s="13" t="s">
        <v>31</v>
      </c>
      <c r="F19" t="s">
        <v>32</v>
      </c>
      <c r="G19" s="13" t="s">
        <v>33</v>
      </c>
      <c r="H19" s="14">
        <v>46271</v>
      </c>
    </row>
    <row r="20" spans="1:9" x14ac:dyDescent="0.3">
      <c r="A20" s="13" t="str">
        <f t="array" ref="A20">"RF-"&amp;TEXT(ROW()-ROW(TablaRF[#Headers]),"000")</f>
        <v>RF-017</v>
      </c>
      <c r="B20" t="s">
        <v>66</v>
      </c>
      <c r="C20" t="s">
        <v>75</v>
      </c>
      <c r="D20" s="8" t="s">
        <v>76</v>
      </c>
      <c r="E20" s="13" t="s">
        <v>31</v>
      </c>
      <c r="F20" t="s">
        <v>32</v>
      </c>
      <c r="G20" s="13" t="s">
        <v>33</v>
      </c>
      <c r="H20" s="14">
        <v>46272</v>
      </c>
    </row>
    <row r="21" spans="1:9" x14ac:dyDescent="0.3">
      <c r="A21" s="13" t="str">
        <f t="array" ref="A21">"RF-"&amp;TEXT(ROW()-ROW(TablaRF[#Headers]),"000")</f>
        <v>RF-018</v>
      </c>
      <c r="B21" t="s">
        <v>77</v>
      </c>
      <c r="C21" t="s">
        <v>78</v>
      </c>
      <c r="D21" s="8" t="s">
        <v>79</v>
      </c>
      <c r="E21" s="13" t="s">
        <v>31</v>
      </c>
      <c r="F21" t="s">
        <v>32</v>
      </c>
      <c r="G21" s="13" t="s">
        <v>33</v>
      </c>
      <c r="H21" s="14">
        <v>46273</v>
      </c>
    </row>
    <row r="22" spans="1:9" x14ac:dyDescent="0.3">
      <c r="A22" s="13" t="str">
        <f t="array" ref="A22">"RF-"&amp;TEXT(ROW()-ROW(TablaRF[#Headers]),"000")</f>
        <v>RF-019</v>
      </c>
      <c r="B22" t="s">
        <v>77</v>
      </c>
      <c r="C22" t="s">
        <v>80</v>
      </c>
      <c r="D22" s="8" t="s">
        <v>168</v>
      </c>
      <c r="E22" s="13" t="s">
        <v>81</v>
      </c>
      <c r="F22" t="s">
        <v>32</v>
      </c>
      <c r="G22" s="13" t="s">
        <v>33</v>
      </c>
      <c r="H22" s="14">
        <v>46274</v>
      </c>
    </row>
    <row r="23" spans="1:9" x14ac:dyDescent="0.3">
      <c r="A23" s="13" t="str">
        <f t="array" ref="A23">"RF-"&amp;TEXT(ROW()-ROW(TablaRF[#Headers]),"000")</f>
        <v>RF-020</v>
      </c>
      <c r="B23" t="s">
        <v>77</v>
      </c>
      <c r="C23" t="s">
        <v>82</v>
      </c>
      <c r="D23" s="8" t="s">
        <v>83</v>
      </c>
      <c r="E23" s="13" t="s">
        <v>81</v>
      </c>
      <c r="F23" t="s">
        <v>32</v>
      </c>
      <c r="G23" s="13" t="s">
        <v>33</v>
      </c>
      <c r="H23" s="14">
        <v>46275</v>
      </c>
    </row>
    <row r="24" spans="1:9" x14ac:dyDescent="0.3">
      <c r="A24" s="13" t="str">
        <f t="array" ref="A24">"RF-"&amp;TEXT(ROW()-ROW(TablaRF[#Headers]),"000")</f>
        <v>RF-021</v>
      </c>
      <c r="B24" t="s">
        <v>77</v>
      </c>
      <c r="C24" t="s">
        <v>84</v>
      </c>
      <c r="D24" s="8" t="s">
        <v>85</v>
      </c>
      <c r="E24" s="13" t="s">
        <v>81</v>
      </c>
      <c r="F24" t="s">
        <v>32</v>
      </c>
      <c r="G24" s="13" t="s">
        <v>33</v>
      </c>
      <c r="H24" s="14">
        <v>46276</v>
      </c>
    </row>
    <row r="25" spans="1:9" x14ac:dyDescent="0.3">
      <c r="A25" s="13" t="str">
        <f t="array" ref="A25">"RF-"&amp;TEXT(ROW()-ROW(TablaRF[#Headers]),"000")</f>
        <v>RF-022</v>
      </c>
      <c r="B25" t="s">
        <v>86</v>
      </c>
      <c r="C25" t="s">
        <v>87</v>
      </c>
      <c r="D25" s="8" t="s">
        <v>88</v>
      </c>
      <c r="E25" s="13" t="s">
        <v>31</v>
      </c>
      <c r="F25" t="s">
        <v>32</v>
      </c>
      <c r="G25" s="13" t="s">
        <v>33</v>
      </c>
      <c r="H25" s="14">
        <v>46277</v>
      </c>
    </row>
    <row r="26" spans="1:9" x14ac:dyDescent="0.3">
      <c r="A26" s="13" t="str">
        <f t="array" ref="A26">"RF-"&amp;TEXT(ROW()-ROW(TablaRF[#Headers]),"000")</f>
        <v>RF-023</v>
      </c>
      <c r="B26" t="s">
        <v>86</v>
      </c>
      <c r="C26" t="s">
        <v>89</v>
      </c>
      <c r="D26" s="8" t="s">
        <v>90</v>
      </c>
      <c r="E26" s="13" t="s">
        <v>81</v>
      </c>
      <c r="F26" t="s">
        <v>32</v>
      </c>
      <c r="G26" s="13" t="s">
        <v>33</v>
      </c>
      <c r="H26" s="14">
        <v>46278</v>
      </c>
      <c r="I26" t="s">
        <v>91</v>
      </c>
    </row>
    <row r="27" spans="1:9" x14ac:dyDescent="0.3">
      <c r="A27" s="13" t="str">
        <f t="array" ref="A27">"RF-"&amp;TEXT(ROW()-ROW(TablaRF[#Headers]),"000")</f>
        <v>RF-024</v>
      </c>
      <c r="B27" t="s">
        <v>92</v>
      </c>
      <c r="C27" t="s">
        <v>93</v>
      </c>
      <c r="D27" s="8" t="s">
        <v>94</v>
      </c>
      <c r="E27" s="13" t="s">
        <v>31</v>
      </c>
      <c r="F27" t="s">
        <v>32</v>
      </c>
      <c r="G27" s="13" t="s">
        <v>33</v>
      </c>
      <c r="H27" s="14">
        <v>46279</v>
      </c>
      <c r="I27" t="s">
        <v>95</v>
      </c>
    </row>
    <row r="28" spans="1:9" x14ac:dyDescent="0.3">
      <c r="A28" s="13" t="str">
        <f t="array" ref="A28">"RF-"&amp;TEXT(ROW()-ROW(TablaRF[#Headers]),"000")</f>
        <v>RF-025</v>
      </c>
      <c r="B28" t="s">
        <v>92</v>
      </c>
      <c r="C28" t="s">
        <v>96</v>
      </c>
      <c r="D28" s="8" t="s">
        <v>97</v>
      </c>
      <c r="E28" s="13" t="s">
        <v>81</v>
      </c>
      <c r="F28" t="s">
        <v>32</v>
      </c>
      <c r="G28" s="13" t="s">
        <v>33</v>
      </c>
      <c r="H28" s="14">
        <v>46280</v>
      </c>
    </row>
    <row r="29" spans="1:9" x14ac:dyDescent="0.3">
      <c r="A29" s="13" t="str">
        <f t="array" ref="A29">"RF-"&amp;TEXT(ROW()-ROW(TablaRF[#Headers]),"000")</f>
        <v>RF-026</v>
      </c>
      <c r="B29" t="s">
        <v>92</v>
      </c>
      <c r="C29" t="s">
        <v>98</v>
      </c>
      <c r="D29" s="8" t="s">
        <v>99</v>
      </c>
      <c r="E29" s="13" t="s">
        <v>81</v>
      </c>
      <c r="F29" t="s">
        <v>32</v>
      </c>
      <c r="G29" s="13" t="s">
        <v>33</v>
      </c>
      <c r="H29" s="14">
        <v>46281</v>
      </c>
    </row>
    <row r="30" spans="1:9" x14ac:dyDescent="0.3">
      <c r="A30" s="13" t="str">
        <f t="array" ref="A30">"RF-"&amp;TEXT(ROW()-ROW(TablaRF[#Headers]),"000")</f>
        <v>RF-027</v>
      </c>
      <c r="B30" t="s">
        <v>92</v>
      </c>
      <c r="C30" t="s">
        <v>100</v>
      </c>
      <c r="D30" s="8" t="s">
        <v>101</v>
      </c>
      <c r="E30" s="13" t="s">
        <v>102</v>
      </c>
      <c r="F30" t="s">
        <v>32</v>
      </c>
      <c r="G30" s="13" t="s">
        <v>33</v>
      </c>
      <c r="H30" s="14">
        <v>46282</v>
      </c>
    </row>
    <row r="31" spans="1:9" x14ac:dyDescent="0.3">
      <c r="A31" s="13" t="str">
        <f t="array" ref="A31">"RF-"&amp;TEXT(ROW()-ROW(TablaRF[#Headers]),"000")</f>
        <v>RF-028</v>
      </c>
      <c r="B31" t="s">
        <v>103</v>
      </c>
      <c r="C31" t="s">
        <v>104</v>
      </c>
      <c r="D31" s="8" t="s">
        <v>105</v>
      </c>
      <c r="E31" s="13" t="s">
        <v>31</v>
      </c>
      <c r="F31" t="s">
        <v>32</v>
      </c>
      <c r="G31" s="13" t="s">
        <v>33</v>
      </c>
      <c r="H31" s="14">
        <v>46283</v>
      </c>
    </row>
    <row r="32" spans="1:9" x14ac:dyDescent="0.3">
      <c r="A32" s="13" t="str">
        <f t="array" ref="A32">"RF-"&amp;TEXT(ROW()-ROW(TablaRF[#Headers]),"000")</f>
        <v>RF-029</v>
      </c>
      <c r="B32" t="s">
        <v>103</v>
      </c>
      <c r="C32" t="s">
        <v>106</v>
      </c>
      <c r="D32" s="8" t="s">
        <v>107</v>
      </c>
      <c r="E32" s="13" t="s">
        <v>31</v>
      </c>
      <c r="F32" t="s">
        <v>32</v>
      </c>
      <c r="G32" s="13" t="s">
        <v>33</v>
      </c>
      <c r="H32" s="14">
        <v>46284</v>
      </c>
    </row>
    <row r="33" spans="1:9" x14ac:dyDescent="0.3">
      <c r="A33" s="13" t="str">
        <f t="array" ref="A33">"RF-"&amp;TEXT(ROW()-ROW(TablaRF[#Headers]),"000")</f>
        <v>RF-030</v>
      </c>
      <c r="B33" t="s">
        <v>103</v>
      </c>
      <c r="C33" t="s">
        <v>108</v>
      </c>
      <c r="D33" s="8" t="s">
        <v>109</v>
      </c>
      <c r="E33" s="13" t="s">
        <v>31</v>
      </c>
      <c r="F33" t="s">
        <v>32</v>
      </c>
      <c r="G33" s="13" t="s">
        <v>33</v>
      </c>
      <c r="H33" s="14">
        <v>46285</v>
      </c>
      <c r="I33" t="s">
        <v>110</v>
      </c>
    </row>
    <row r="34" spans="1:9" x14ac:dyDescent="0.3">
      <c r="A34" s="13" t="str">
        <f t="array" ref="A34">"RF-"&amp;TEXT(ROW()-ROW(TablaRF[#Headers]),"000")</f>
        <v>RF-031</v>
      </c>
      <c r="B34" t="s">
        <v>111</v>
      </c>
      <c r="C34" t="s">
        <v>112</v>
      </c>
      <c r="D34" s="8" t="s">
        <v>113</v>
      </c>
      <c r="E34" s="13" t="s">
        <v>31</v>
      </c>
      <c r="F34" t="s">
        <v>32</v>
      </c>
      <c r="G34" s="13" t="s">
        <v>33</v>
      </c>
      <c r="H34" s="14">
        <v>46286</v>
      </c>
      <c r="I34" t="s">
        <v>114</v>
      </c>
    </row>
    <row r="35" spans="1:9" x14ac:dyDescent="0.3">
      <c r="A35" s="13" t="str">
        <f t="array" ref="A35">"RF-"&amp;TEXT(ROW()-ROW(TablaRF[#Headers]),"000")</f>
        <v>RF-032</v>
      </c>
      <c r="B35" t="s">
        <v>111</v>
      </c>
      <c r="C35" t="s">
        <v>115</v>
      </c>
      <c r="D35" s="8" t="s">
        <v>116</v>
      </c>
      <c r="E35" s="13" t="s">
        <v>81</v>
      </c>
      <c r="F35" t="s">
        <v>32</v>
      </c>
      <c r="G35" s="13" t="s">
        <v>33</v>
      </c>
      <c r="H35" s="14">
        <v>46287</v>
      </c>
    </row>
    <row r="36" spans="1:9" x14ac:dyDescent="0.3">
      <c r="A36" s="13" t="str">
        <f t="array" ref="A36">"RF-"&amp;TEXT(ROW()-ROW(TablaRF[#Headers]),"000")</f>
        <v>RF-033</v>
      </c>
      <c r="B36" t="s">
        <v>111</v>
      </c>
      <c r="C36" t="s">
        <v>117</v>
      </c>
      <c r="D36" s="8" t="s">
        <v>118</v>
      </c>
      <c r="E36" s="13" t="s">
        <v>102</v>
      </c>
      <c r="F36" t="s">
        <v>32</v>
      </c>
      <c r="G36" s="13" t="s">
        <v>167</v>
      </c>
      <c r="H36" s="14">
        <v>46288</v>
      </c>
      <c r="I36" t="s">
        <v>119</v>
      </c>
    </row>
  </sheetData>
  <dataValidations count="6">
    <dataValidation type="list" allowBlank="1" showInputMessage="1" showErrorMessage="1" errorTitle="Valor no válido" error="Selecciona un valor de la lista." promptTitle="Prioridad" prompt="Elige: Alta, Media o Baja." sqref="E4:E1000" xr:uid="{00000000-0002-0000-0100-000000000000}">
      <formula1>"Alta,Media,Baja"</formula1>
      <formula2>0</formula2>
    </dataValidation>
    <dataValidation type="list" allowBlank="1" showInputMessage="1" showErrorMessage="1" errorTitle="Valor no válido" error="Selecciona un valor de la lista." promptTitle="Estado" prompt="Elige la situación actual del requerimiento." sqref="G4:G1000" xr:uid="{00000000-0002-0000-0100-000001000000}">
      <formula1>"Propuesto,Aprobado,En análisis,En desarrollo,Implementado,Descartado"</formula1>
      <formula2>0</formula2>
    </dataValidation>
    <dataValidation allowBlank="1" showInputMessage="1" showErrorMessage="1" promptTitle="Nombre" prompt="Título corto y claro. Ej.: Inicio de sesión." sqref="C4:C6 C8:C12 C14:C17 C19:C23 C25:C1000" xr:uid="{00000000-0002-0000-0100-000002000000}">
      <formula1>0</formula1>
      <formula2>0</formula2>
    </dataValidation>
    <dataValidation allowBlank="1" showInputMessage="1" showErrorMessage="1" promptTitle="Descripción" prompt="QUÉ debe hacer el sistema. Empieza con 'El sistema debe...'." sqref="D4 D13 D18:D19 D26:D1000" xr:uid="{00000000-0002-0000-0100-000003000000}">
      <formula1>0</formula1>
      <formula2>0</formula2>
    </dataValidation>
    <dataValidation allowBlank="1" showInputMessage="1" showErrorMessage="1" promptTitle="Fuente / Solicitante" prompt="Quién lo solicita: persona, área o documento." sqref="F4:F1000" xr:uid="{00000000-0002-0000-0100-000004000000}">
      <formula1>0</formula1>
      <formula2>0</formula2>
    </dataValidation>
    <dataValidation allowBlank="1" showInputMessage="1" showErrorMessage="1" promptTitle="Categoría / Módulo" prompt="Módulo o área funcional. Ej.: Autenticación, Reportes, Pagos." sqref="B4:B6 C7 B8:B17 C18 B19:B1000" xr:uid="{00000000-0002-0000-0100-000005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zoomScaleNormal="100" workbookViewId="0">
      <pane ySplit="3" topLeftCell="A4" activePane="bottomLeft" state="frozen"/>
      <selection pane="bottomLeft" activeCell="G17" sqref="G17"/>
    </sheetView>
  </sheetViews>
  <sheetFormatPr baseColWidth="10" defaultColWidth="10.5546875" defaultRowHeight="14.4" x14ac:dyDescent="0.3"/>
  <cols>
    <col min="1" max="1" width="11.109375" customWidth="1"/>
    <col min="2" max="2" width="22.21875" customWidth="1"/>
    <col min="3" max="3" width="25.88671875" customWidth="1"/>
    <col min="4" max="4" width="59.21875" style="8" customWidth="1"/>
    <col min="5" max="5" width="13" customWidth="1"/>
    <col min="6" max="6" width="24.109375" customWidth="1"/>
    <col min="7" max="7" width="16.6640625" customWidth="1"/>
    <col min="8" max="8" width="15.77734375" customWidth="1"/>
    <col min="9" max="9" width="33.33203125" customWidth="1"/>
  </cols>
  <sheetData>
    <row r="1" spans="1:9" ht="18" customHeight="1" x14ac:dyDescent="0.35">
      <c r="A1" s="9" t="s">
        <v>120</v>
      </c>
    </row>
    <row r="2" spans="1:9" x14ac:dyDescent="0.3">
      <c r="A2" s="2" t="s">
        <v>121</v>
      </c>
    </row>
    <row r="3" spans="1:9" x14ac:dyDescent="0.3">
      <c r="A3" s="10" t="s">
        <v>20</v>
      </c>
      <c r="B3" s="11" t="s">
        <v>21</v>
      </c>
      <c r="C3" s="11" t="s">
        <v>22</v>
      </c>
      <c r="D3" s="12" t="s">
        <v>23</v>
      </c>
      <c r="E3" s="10" t="s">
        <v>24</v>
      </c>
      <c r="F3" s="11" t="s">
        <v>25</v>
      </c>
      <c r="G3" s="10" t="s">
        <v>26</v>
      </c>
      <c r="H3" s="10" t="s">
        <v>9</v>
      </c>
      <c r="I3" s="10" t="s">
        <v>27</v>
      </c>
    </row>
    <row r="4" spans="1:9" ht="28.5" customHeight="1" x14ac:dyDescent="0.3">
      <c r="A4" s="13" t="str">
        <f t="array" ref="A4">"RNF-"&amp;TEXT(ROW()-ROW(TablaRNF[#Headers]),"000")</f>
        <v>RNF-001</v>
      </c>
      <c r="B4" t="s">
        <v>122</v>
      </c>
      <c r="C4" t="s">
        <v>123</v>
      </c>
      <c r="D4" s="8" t="s">
        <v>124</v>
      </c>
      <c r="E4" s="13" t="s">
        <v>31</v>
      </c>
      <c r="G4" s="13" t="s">
        <v>33</v>
      </c>
      <c r="H4" s="14">
        <f ca="1">TODAY()</f>
        <v>46262</v>
      </c>
      <c r="I4" t="s">
        <v>125</v>
      </c>
    </row>
    <row r="5" spans="1:9" x14ac:dyDescent="0.3">
      <c r="A5" s="13" t="str">
        <f t="array" ref="A5">"RNF-"&amp;TEXT(ROW()-ROW(TablaRNF[#Headers]),"000")</f>
        <v>RNF-002</v>
      </c>
      <c r="B5" t="s">
        <v>126</v>
      </c>
      <c r="C5" t="s">
        <v>127</v>
      </c>
      <c r="D5" s="8" t="s">
        <v>128</v>
      </c>
      <c r="E5" s="13" t="s">
        <v>31</v>
      </c>
      <c r="G5" s="13" t="s">
        <v>33</v>
      </c>
      <c r="H5" s="14"/>
    </row>
    <row r="6" spans="1:9" x14ac:dyDescent="0.3">
      <c r="A6" s="13" t="str">
        <f t="array" ref="A6">"RNF-"&amp;TEXT(ROW()-ROW(TablaRNF[#Headers]),"000")</f>
        <v>RNF-003</v>
      </c>
      <c r="B6" t="s">
        <v>126</v>
      </c>
      <c r="C6" t="s">
        <v>129</v>
      </c>
      <c r="D6" s="8" t="s">
        <v>130</v>
      </c>
      <c r="E6" s="13" t="s">
        <v>31</v>
      </c>
      <c r="G6" s="13" t="s">
        <v>33</v>
      </c>
      <c r="H6" s="14"/>
    </row>
    <row r="7" spans="1:9" x14ac:dyDescent="0.3">
      <c r="A7" s="13" t="str">
        <f t="array" ref="A7">"RNF-"&amp;TEXT(ROW()-ROW(TablaRNF[#Headers]),"000")</f>
        <v>RNF-004</v>
      </c>
      <c r="B7" t="s">
        <v>126</v>
      </c>
      <c r="C7" t="s">
        <v>131</v>
      </c>
      <c r="D7" s="8" t="s">
        <v>132</v>
      </c>
      <c r="E7" s="13" t="s">
        <v>31</v>
      </c>
      <c r="F7" t="s">
        <v>133</v>
      </c>
      <c r="G7" s="13" t="s">
        <v>33</v>
      </c>
      <c r="H7" s="14"/>
      <c r="I7" t="s">
        <v>134</v>
      </c>
    </row>
    <row r="8" spans="1:9" x14ac:dyDescent="0.3">
      <c r="A8" s="13" t="str">
        <f t="array" ref="A8">"RNF-"&amp;TEXT(ROW()-ROW(TablaRNF[#Headers]),"000")</f>
        <v>RNF-005</v>
      </c>
      <c r="B8" t="s">
        <v>135</v>
      </c>
      <c r="C8" t="s">
        <v>136</v>
      </c>
      <c r="D8" s="8" t="s">
        <v>137</v>
      </c>
      <c r="E8" s="13" t="s">
        <v>31</v>
      </c>
      <c r="G8" s="13" t="s">
        <v>33</v>
      </c>
      <c r="H8" s="14"/>
    </row>
    <row r="9" spans="1:9" x14ac:dyDescent="0.3">
      <c r="A9" s="13" t="str">
        <f t="array" ref="A9">"RNF-"&amp;TEXT(ROW()-ROW(TablaRNF[#Headers]),"000")</f>
        <v>RNF-006</v>
      </c>
      <c r="B9" t="s">
        <v>135</v>
      </c>
      <c r="C9" t="s">
        <v>138</v>
      </c>
      <c r="D9" s="8" t="s">
        <v>139</v>
      </c>
      <c r="E9" s="13" t="s">
        <v>81</v>
      </c>
      <c r="G9" s="13" t="s">
        <v>33</v>
      </c>
      <c r="H9" s="14"/>
    </row>
    <row r="10" spans="1:9" x14ac:dyDescent="0.3">
      <c r="A10" s="13" t="str">
        <f t="array" ref="A10">"RNF-"&amp;TEXT(ROW()-ROW(TablaRNF[#Headers]),"000")</f>
        <v>RNF-007</v>
      </c>
      <c r="B10" t="s">
        <v>140</v>
      </c>
      <c r="C10" t="s">
        <v>46</v>
      </c>
      <c r="D10" s="8" t="s">
        <v>141</v>
      </c>
      <c r="E10" s="13" t="s">
        <v>31</v>
      </c>
      <c r="G10" s="13" t="s">
        <v>33</v>
      </c>
      <c r="H10" s="14"/>
    </row>
    <row r="11" spans="1:9" x14ac:dyDescent="0.3">
      <c r="A11" s="13" t="str">
        <f t="array" ref="A11">"RNF-"&amp;TEXT(ROW()-ROW(TablaRNF[#Headers]),"000")</f>
        <v>RNF-008</v>
      </c>
      <c r="B11" t="s">
        <v>142</v>
      </c>
      <c r="C11" t="s">
        <v>143</v>
      </c>
      <c r="D11" s="8" t="s">
        <v>144</v>
      </c>
      <c r="E11" s="13" t="s">
        <v>31</v>
      </c>
      <c r="G11" s="13" t="s">
        <v>33</v>
      </c>
      <c r="H11" s="14"/>
    </row>
    <row r="12" spans="1:9" x14ac:dyDescent="0.3">
      <c r="A12" s="13" t="str">
        <f t="array" ref="A12">"RNF-"&amp;TEXT(ROW()-ROW(TablaRNF[#Headers]),"000")</f>
        <v>RNF-009</v>
      </c>
      <c r="B12" t="s">
        <v>145</v>
      </c>
      <c r="C12" t="s">
        <v>146</v>
      </c>
      <c r="D12" s="8" t="s">
        <v>147</v>
      </c>
      <c r="E12" s="13" t="s">
        <v>81</v>
      </c>
      <c r="G12" s="13" t="s">
        <v>167</v>
      </c>
      <c r="H12" s="14"/>
      <c r="I12" t="s">
        <v>148</v>
      </c>
    </row>
    <row r="13" spans="1:9" x14ac:dyDescent="0.3">
      <c r="A13" s="13" t="str">
        <f t="array" ref="A13">"RNF-"&amp;TEXT(ROW()-ROW(TablaRNF[#Headers]),"000")</f>
        <v>RNF-010</v>
      </c>
      <c r="B13" t="s">
        <v>149</v>
      </c>
      <c r="C13" t="s">
        <v>150</v>
      </c>
      <c r="D13" s="8" t="s">
        <v>151</v>
      </c>
      <c r="E13" s="13" t="s">
        <v>81</v>
      </c>
      <c r="G13" s="13" t="s">
        <v>33</v>
      </c>
      <c r="H13" s="14"/>
    </row>
    <row r="14" spans="1:9" x14ac:dyDescent="0.3">
      <c r="A14" s="13" t="str">
        <f t="array" ref="A14">"RNF-"&amp;TEXT(ROW()-ROW(TablaRNF[#Headers]),"000")</f>
        <v>RNF-011</v>
      </c>
      <c r="B14" t="s">
        <v>149</v>
      </c>
      <c r="C14" t="s">
        <v>152</v>
      </c>
      <c r="D14" s="8" t="s">
        <v>153</v>
      </c>
      <c r="E14" s="13" t="s">
        <v>102</v>
      </c>
      <c r="G14" s="13" t="s">
        <v>167</v>
      </c>
      <c r="H14" s="14"/>
    </row>
    <row r="15" spans="1:9" x14ac:dyDescent="0.3">
      <c r="A15" s="13" t="str">
        <f t="array" ref="A15">"RNF-"&amp;TEXT(ROW()-ROW(TablaRNF[#Headers]),"000")</f>
        <v>RNF-012</v>
      </c>
      <c r="B15" t="s">
        <v>154</v>
      </c>
      <c r="C15" t="s">
        <v>155</v>
      </c>
      <c r="D15" s="8" t="s">
        <v>156</v>
      </c>
      <c r="E15" s="13" t="s">
        <v>81</v>
      </c>
      <c r="G15" s="13" t="s">
        <v>33</v>
      </c>
      <c r="H15" s="14"/>
    </row>
    <row r="16" spans="1:9" x14ac:dyDescent="0.3">
      <c r="A16" s="13" t="str">
        <f t="array" ref="A16">"RNF-"&amp;TEXT(ROW()-ROW(TablaRNF[#Headers]),"000")</f>
        <v>RNF-013</v>
      </c>
      <c r="B16" t="s">
        <v>157</v>
      </c>
      <c r="C16" t="s">
        <v>158</v>
      </c>
      <c r="D16" s="8" t="s">
        <v>159</v>
      </c>
      <c r="E16" s="13" t="s">
        <v>81</v>
      </c>
      <c r="G16" s="13" t="s">
        <v>33</v>
      </c>
      <c r="H16" s="14"/>
    </row>
    <row r="17" spans="1:9" x14ac:dyDescent="0.3">
      <c r="A17" s="13" t="str">
        <f t="array" ref="A17">"RNF-"&amp;TEXT(ROW()-ROW(TablaRNF[#Headers]),"000")</f>
        <v>RNF-014</v>
      </c>
      <c r="B17" t="s">
        <v>160</v>
      </c>
      <c r="C17" t="s">
        <v>161</v>
      </c>
      <c r="D17" s="8" t="s">
        <v>162</v>
      </c>
      <c r="E17" s="13" t="s">
        <v>102</v>
      </c>
      <c r="G17" s="13" t="s">
        <v>33</v>
      </c>
      <c r="H17" s="14"/>
    </row>
    <row r="18" spans="1:9" x14ac:dyDescent="0.3">
      <c r="A18" s="13" t="str">
        <f t="array" ref="A18">"RNF-"&amp;TEXT(ROW()-ROW(TablaRNF[#Headers]),"000")</f>
        <v>RNF-015</v>
      </c>
      <c r="B18" t="s">
        <v>163</v>
      </c>
      <c r="C18" t="s">
        <v>164</v>
      </c>
      <c r="D18" s="8" t="s">
        <v>165</v>
      </c>
      <c r="E18" s="13" t="s">
        <v>31</v>
      </c>
      <c r="F18" t="s">
        <v>59</v>
      </c>
      <c r="G18" s="13" t="s">
        <v>33</v>
      </c>
      <c r="H18" s="14"/>
      <c r="I18" t="s">
        <v>166</v>
      </c>
    </row>
  </sheetData>
  <dataValidations count="6">
    <dataValidation allowBlank="1" showInputMessage="1" showErrorMessage="1" promptTitle="Fuente / Solicitante" prompt="Quién lo solicita: persona, área o documento." sqref="F4:F1000" xr:uid="{00000000-0002-0000-0200-000000000000}">
      <formula1>0</formula1>
      <formula2>0</formula2>
    </dataValidation>
    <dataValidation type="list" allowBlank="1" showInputMessage="1" showErrorMessage="1" errorTitle="Valor no válido" error="Selecciona un valor de la lista." promptTitle="Prioridad" prompt="Elige: Alta, Media o Baja." sqref="E4:E1000" xr:uid="{00000000-0002-0000-0200-000001000000}">
      <formula1>"Alta,Media,Baja"</formula1>
      <formula2>0</formula2>
    </dataValidation>
    <dataValidation type="list" allowBlank="1" showInputMessage="1" showErrorMessage="1" errorTitle="Valor no válido" error="Selecciona un valor de la lista." promptTitle="Estado" prompt="Elige la situación actual del requerimiento." sqref="G4:G1000" xr:uid="{00000000-0002-0000-0200-000002000000}">
      <formula1>"Propuesto,Aprobado,En análisis,En desarrollo,Implementado,Descartado"</formula1>
      <formula2>0</formula2>
    </dataValidation>
    <dataValidation allowBlank="1" showInputMessage="1" showErrorMessage="1" promptTitle="Categoría" prompt="Tipo de cualidad. Ej.: Rendimiento, Seguridad, Usabilidad." sqref="B4:B1000" xr:uid="{00000000-0002-0000-0200-000003000000}">
      <formula1>0</formula1>
      <formula2>0</formula2>
    </dataValidation>
    <dataValidation allowBlank="1" showInputMessage="1" showErrorMessage="1" promptTitle="Nombre" prompt="Título corto y claro. Ej.: Tiempo de respuesta." sqref="C4:C1000" xr:uid="{00000000-0002-0000-0200-000004000000}">
      <formula1>0</formula1>
      <formula2>0</formula2>
    </dataValidation>
    <dataValidation allowBlank="1" showInputMessage="1" showErrorMessage="1" promptTitle="Descripción" prompt="CÓMO debe comportarse el sistema, con una medida si aplica. Ej.: responder en &lt; 3 s." sqref="D4:D1000" xr:uid="{00000000-0002-0000-0200-000005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Req. Funcionales</vt:lpstr>
      <vt:lpstr>Req.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QUINTERO GUZMAN</dc:creator>
  <dc:description/>
  <cp:lastModifiedBy>EDWIN QUINTERO GUZMAN</cp:lastModifiedBy>
  <cp:revision>0</cp:revision>
  <dcterms:created xsi:type="dcterms:W3CDTF">2026-08-27T18:54:15Z</dcterms:created>
  <dcterms:modified xsi:type="dcterms:W3CDTF">2026-08-28T13:33:51Z</dcterms:modified>
  <dc:language>en-US</dc:language>
</cp:coreProperties>
</file>